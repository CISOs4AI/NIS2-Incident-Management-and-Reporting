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florimgroup.sharepoint.com/sites/si/csp/Documenti condivisi/Documenti GDPR/Documenti finali/0110_Progetti di sviluppo/0010_Piani di adeguamento/0098_NIS2/06_Notifica incidenti/"/>
    </mc:Choice>
  </mc:AlternateContent>
  <xr:revisionPtr revIDLastSave="156" documentId="8_{310998C7-E751-4BFD-9D96-88EB8DF88F56}" xr6:coauthVersionLast="47" xr6:coauthVersionMax="47" xr10:uidLastSave="{514BA350-A732-47B7-9245-EE79FA38791D}"/>
  <bookViews>
    <workbookView xWindow="20544" yWindow="0" windowWidth="20832" windowHeight="16656" xr2:uid="{E6DCCA14-C8DC-4741-B559-41628286E324}"/>
  </bookViews>
  <sheets>
    <sheet name="Impatto dell'evento" sheetId="1" r:id="rId1"/>
    <sheet name="Elenchi" sheetId="2" state="hidden"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 r="D9" i="1"/>
  <c r="C9" i="1"/>
  <c r="D8" i="1"/>
  <c r="D6" i="1"/>
  <c r="C8" i="1"/>
  <c r="C6" i="1"/>
  <c r="D5" i="1"/>
  <c r="C5" i="1"/>
  <c r="D4" i="1"/>
  <c r="C4" i="1"/>
  <c r="D3" i="1"/>
  <c r="C3" i="1"/>
  <c r="D2" i="1"/>
  <c r="C2" i="1"/>
  <c r="B18" i="1" l="1"/>
  <c r="B23" i="1" s="1"/>
  <c r="C16" i="1"/>
  <c r="B16" i="1" s="1"/>
  <c r="D16" i="1" s="1"/>
  <c r="B17" i="1" l="1"/>
  <c r="B22" i="1" s="1"/>
</calcChain>
</file>

<file path=xl/sharedStrings.xml><?xml version="1.0" encoding="utf-8"?>
<sst xmlns="http://schemas.openxmlformats.org/spreadsheetml/2006/main" count="46" uniqueCount="33">
  <si>
    <t>Impatto operativo</t>
  </si>
  <si>
    <t>Trascurabile</t>
  </si>
  <si>
    <t>Basso</t>
  </si>
  <si>
    <t>Medio</t>
  </si>
  <si>
    <t>Alto</t>
  </si>
  <si>
    <t>Critico</t>
  </si>
  <si>
    <t>Assi d'impatto</t>
  </si>
  <si>
    <t>Livello d'impatto</t>
  </si>
  <si>
    <t>Score</t>
  </si>
  <si>
    <t>Descrizione</t>
  </si>
  <si>
    <t>Impatto economico</t>
  </si>
  <si>
    <t>Impatto su persone</t>
  </si>
  <si>
    <t>Impatto su riservatezza dei dati</t>
  </si>
  <si>
    <t>Impatto reputazionale</t>
  </si>
  <si>
    <t>Incidente ricorrente</t>
  </si>
  <si>
    <t>PTA NIS2</t>
  </si>
  <si>
    <t>PTNR NIS2</t>
  </si>
  <si>
    <t>PT GDPR</t>
  </si>
  <si>
    <t>Asse di ricorsività e presenza dati personali</t>
  </si>
  <si>
    <t>Dati personali impattati</t>
  </si>
  <si>
    <t>Si</t>
  </si>
  <si>
    <t>No</t>
  </si>
  <si>
    <t>Segnalazione NIS2</t>
  </si>
  <si>
    <t>Segnalazione Garante della privacy</t>
  </si>
  <si>
    <t>Flussi di notifica autorità</t>
  </si>
  <si>
    <t>PUNTEGGI</t>
  </si>
  <si>
    <t>Categoria impattata NIS2</t>
  </si>
  <si>
    <t>IS-1</t>
  </si>
  <si>
    <t>IS-2</t>
  </si>
  <si>
    <t>IS-3</t>
  </si>
  <si>
    <t>IS-4</t>
  </si>
  <si>
    <t>Nessuna</t>
  </si>
  <si>
    <t>Categorie ALLEGATO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</si>
</sst>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4"/>
      <color theme="1"/>
      <name val="Aptos Narrow"/>
      <family val="2"/>
      <scheme val="minor"/>
    </font>
    <font>
      <sz val="8"/>
      <name val="Aptos Narrow"/>
      <family val="2"/>
      <scheme val="minor"/>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9">
    <xf numFmtId="0" fontId="0" fillId="0" borderId="0" xfId="0"/>
    <xf numFmtId="0" fontId="0" fillId="0" borderId="0" xfId="0" applyAlignment="1">
      <alignment wrapText="1"/>
    </xf>
    <xf numFmtId="0" fontId="1" fillId="0" borderId="0" xfId="0" applyFont="1"/>
    <xf numFmtId="0" fontId="1"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0" fillId="0" borderId="0" xfId="0" applyAlignment="1">
      <alignment horizontal="center" vertical="center" wrapText="1"/>
    </xf>
    <xf numFmtId="0" fontId="1" fillId="0" borderId="2" xfId="0" applyFont="1" applyBorder="1" applyAlignment="1">
      <alignment horizontal="center" vertical="center" wrapText="1"/>
    </xf>
    <xf numFmtId="0" fontId="0" fillId="0" borderId="2" xfId="0" applyBorder="1" applyAlignment="1">
      <alignment horizontal="center" vertical="center"/>
    </xf>
    <xf numFmtId="0" fontId="1" fillId="0" borderId="3" xfId="0" applyFont="1" applyBorder="1" applyAlignment="1">
      <alignment horizontal="center" vertical="center" wrapText="1"/>
    </xf>
    <xf numFmtId="0" fontId="1" fillId="0" borderId="4" xfId="0" applyFont="1" applyBorder="1" applyAlignment="1">
      <alignment horizontal="center" vertical="center"/>
    </xf>
    <xf numFmtId="0" fontId="1" fillId="0" borderId="5" xfId="0" applyFont="1" applyBorder="1" applyAlignment="1">
      <alignment horizontal="center" vertical="center" wrapText="1"/>
    </xf>
    <xf numFmtId="0" fontId="1" fillId="0" borderId="6" xfId="0" applyFont="1" applyBorder="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center" vertical="center" wrapText="1"/>
    </xf>
    <xf numFmtId="0" fontId="0" fillId="0" borderId="1" xfId="0" applyBorder="1" applyAlignment="1">
      <alignment horizontal="left" vertical="center"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85E1D-DEC0-4C50-BC49-21DAA1BDE7D7}">
  <dimension ref="A1:D23"/>
  <sheetViews>
    <sheetView tabSelected="1" zoomScale="85" zoomScaleNormal="85" workbookViewId="0">
      <selection activeCell="B4" sqref="B4"/>
    </sheetView>
  </sheetViews>
  <sheetFormatPr defaultRowHeight="14.4" x14ac:dyDescent="0.3"/>
  <cols>
    <col min="1" max="1" width="29.6640625" style="1" customWidth="1"/>
    <col min="2" max="2" width="24.5546875" customWidth="1"/>
    <col min="3" max="3" width="24" customWidth="1"/>
    <col min="4" max="4" width="60.44140625" style="1" customWidth="1"/>
  </cols>
  <sheetData>
    <row r="1" spans="1:4" s="2" customFormat="1" ht="30.6" customHeight="1" x14ac:dyDescent="0.3">
      <c r="A1" s="6" t="s">
        <v>6</v>
      </c>
      <c r="B1" s="7" t="s">
        <v>7</v>
      </c>
      <c r="C1" s="7" t="s">
        <v>8</v>
      </c>
      <c r="D1" s="6" t="s">
        <v>9</v>
      </c>
    </row>
    <row r="2" spans="1:4" ht="57.6" x14ac:dyDescent="0.3">
      <c r="A2" s="3" t="s">
        <v>0</v>
      </c>
      <c r="B2" s="4" t="s">
        <v>1</v>
      </c>
      <c r="C2" s="4">
        <f>IF(B2="Trascurabile",1,IF(B2="Basso",2,IF(B2="Medio",3,IF(B2="Alto",4,IF(B2="Critico",5,"")))))</f>
        <v>1</v>
      </c>
      <c r="D2" s="5" t="str">
        <f>IF(B2="Trascurabile","Il ripristino avviene nei tempi previsti, senza alcuna conseguenza sugli asset o sulle operazioni aziendali. Nessun impatto rilevante sulla continuità operativa.",IF(B2="Basso","Il superamento dei tempi di ripristino coinvolge asset di importanza intermedia(tier 3) e produce effetti limitati e generalmente risolvibili senza impatti significativi sulle attività.",IF(B2="Medio",_xlfn._LONGTEXT("Il ritardo interessa asset di importanza elevata (tier 2) con effetti moderati sull’operatività. Può comportare una temporanea riduzione dell’efficienza, ma senza danni irreparabili. L’incidente non ha impatti diretti nell’erogazione di servizi essenziali"," o importanti secondo quello che è il perimetro NIS."),IF(B2="Alto","Riguarda ritardi nei tempi di ripristino che impattano asset di massima importanza (tier 1), con una riduzione consistente della capacità operativa e potenziali perdite rilevanti. L’azione correttiva è prioritaria.",IF(B2="Critico",_xlfn._LONGTEXT("Si verifica quando il mancato rispetto dei tempi di ripristino coinvolge asset di massima importanza (tier 1), causando gravi conseguenze per la continuità operativa e possibili ripercussioni economiche e reputazionali significative. Richiede intervento i","mmediato."),"")))))</f>
        <v>Il ripristino avviene nei tempi previsti, senza alcuna conseguenza sugli asset o sulle operazioni aziendali. Nessun impatto rilevante sulla continuità operativa.</v>
      </c>
    </row>
    <row r="3" spans="1:4" ht="28.8" x14ac:dyDescent="0.3">
      <c r="A3" s="3" t="s">
        <v>10</v>
      </c>
      <c r="B3" s="4" t="s">
        <v>1</v>
      </c>
      <c r="C3" s="4">
        <f>IF(B3="Trascurabile",1,IF(B3="Basso",2,IF(B3="Medio",3,IF(B3="Alto",4,IF(B3="Critico",5,"")))))</f>
        <v>1</v>
      </c>
      <c r="D3" s="5" t="str">
        <f>IF(B3="Trascurabile","Impatto stimato &lt; 0,002% del fatturato annuo; riduzione/ incremento trascurabile. ",IF(B3="Basso","Impatto stimato ≥ 0,002% e &lt; 2%; riduzione attesa dei ricavi/incremento atteso dei costi minore.",IF(B3="Medio","Impatto stimato ≥ 2% e &lt; 4%; riduzione attesa dei ricavi/incremento atteso dei costi medio.",IF(B3="Alto","Impatto stimato ≥ 4% e ≤ 10%; riduzione attesa dei ricavi/incremento atteso dei costi rilevante.",IF(B3="Critico","Impatto stimato &gt; 10%; riduzione attesa dei ricavi/incremento atteso dei costi critico.","")))))</f>
        <v xml:space="preserve">Impatto stimato &lt; 0,002% del fatturato annuo; riduzione/ incremento trascurabile. </v>
      </c>
    </row>
    <row r="4" spans="1:4" ht="27" customHeight="1" x14ac:dyDescent="0.3">
      <c r="A4" s="3" t="s">
        <v>11</v>
      </c>
      <c r="B4" s="4" t="s">
        <v>4</v>
      </c>
      <c r="C4" s="4">
        <f>IF(B4="Trascurabile",1,IF(B4="Basso",2,IF(B4="Medio",3,IF(B4="Alto",4,IF(B4="Critico",5,"")))))</f>
        <v>4</v>
      </c>
      <c r="D4" s="5" t="str">
        <f>IF(B4="Trascurabile","Nessun impatto su persone o salute.",IF(B4="Basso","Impatto su singoli individui, nessuna conseguenza sanitaria.",IF(B4="Medio","Coinvolgimento di più persone (&lt;% degli utenti o dipendenti), con disagio o lieve danno.",IF(B4="Alto","Coinvolgimento ampio (10–50% degli utenti o dipendenti) o rischio moderato alla salute.",IF(B4="Critico","Pericolo vita/salute grave o &gt;50%  degli utenti o dipendenti impattati.","")))))</f>
        <v>Coinvolgimento ampio (10–50% degli utenti o dipendenti) o rischio moderato alla salute.</v>
      </c>
    </row>
    <row r="5" spans="1:4" ht="38.4" customHeight="1" x14ac:dyDescent="0.3">
      <c r="A5" s="3" t="s">
        <v>12</v>
      </c>
      <c r="B5" s="4" t="s">
        <v>1</v>
      </c>
      <c r="C5" s="4">
        <f>IF(B5="Trascurabile",1,IF(B5="Basso",2,IF(B5="Medio",3,IF(B5="Alto",4,IF(B5="Critico",5,"")))))</f>
        <v>1</v>
      </c>
      <c r="D5" s="5" t="str">
        <f>IF(B5="Trascurabile","Nessun impatto; dati pubblici o assenza di dati personali.",IF(B5="Basso","Dati a uso interno, pseudonimizzati o aggregati.",IF(B5="Medio","Dati personali comuni (&lt;1000 interessati).",IF(B5="Alto","Dati riservati/confidenziali o dati personali alto rischio (&gt;1000 interessati).",IF(B5="Critico","Dati appartenenti a categorie particolari ex art. 9 GDPR (origine etnica, salute, religione, ecc.) o segreti commerciali.","")))))</f>
        <v>Nessun impatto; dati pubblici o assenza di dati personali.</v>
      </c>
    </row>
    <row r="6" spans="1:4" ht="39.6" customHeight="1" x14ac:dyDescent="0.3">
      <c r="A6" s="3" t="s">
        <v>13</v>
      </c>
      <c r="B6" s="4" t="s">
        <v>1</v>
      </c>
      <c r="C6" s="4">
        <f>IF(B6="Trascurabile",1,IF(B6="Basso",2,IF(B6="Medio",3,IF(B6="Alto",4,IF(B6="Critico",5,"")))))</f>
        <v>1</v>
      </c>
      <c r="D6" s="5" t="str">
        <f>IF(B6="Trascurabile","Nessun impatto reputazionale.",IF(B6="Basso","Perdita d’immagine contenuta, limitata al contesto interno.",IF(B6="Medio","Perdita d’immagine percepita da singoli clienti o partner.",IF(B6="Alto","Danno d’immagine rilevante a livello nazionale.",IF(B6="Critico","Immagine compromessa a livello nazionale/internazionale.","")))))</f>
        <v>Nessun impatto reputazionale.</v>
      </c>
    </row>
    <row r="7" spans="1:4" ht="38.4" customHeight="1" x14ac:dyDescent="0.3">
      <c r="A7" s="6" t="s">
        <v>18</v>
      </c>
      <c r="B7" s="7" t="s">
        <v>7</v>
      </c>
      <c r="C7" s="7" t="s">
        <v>8</v>
      </c>
      <c r="D7" s="6" t="s">
        <v>9</v>
      </c>
    </row>
    <row r="8" spans="1:4" ht="31.8" customHeight="1" x14ac:dyDescent="0.3">
      <c r="A8" s="3" t="s">
        <v>14</v>
      </c>
      <c r="B8" s="4" t="s">
        <v>2</v>
      </c>
      <c r="C8" s="4">
        <f>IF(B8="Basso",0,IF(B8="Alto",1,""))</f>
        <v>0</v>
      </c>
      <c r="D8" s="4" t="str">
        <f>IF(B8="Basso","Primo evento di questo tipo.",IF(B8="Alto","Incidente stesso tipo/causa root già verificato in 6 mesi.",""))</f>
        <v>Primo evento di questo tipo.</v>
      </c>
    </row>
    <row r="9" spans="1:4" x14ac:dyDescent="0.3">
      <c r="A9" s="3" t="s">
        <v>19</v>
      </c>
      <c r="B9" s="4" t="s">
        <v>21</v>
      </c>
      <c r="C9" s="4">
        <f>IF(B9="No",0,IF(B9="Si",1,""))</f>
        <v>0</v>
      </c>
      <c r="D9" s="4" t="str">
        <f>IF(B9="No","Non sono impattati dati personali.",IF(B9="Si","Sono stati impattati dati personali.",""))</f>
        <v>Non sono impattati dati personali.</v>
      </c>
    </row>
    <row r="11" spans="1:4" x14ac:dyDescent="0.3">
      <c r="A11" s="17" t="s">
        <v>32</v>
      </c>
      <c r="B11" s="17"/>
      <c r="C11" s="17"/>
      <c r="D11" s="17"/>
    </row>
    <row r="12" spans="1:4" ht="54" customHeight="1" x14ac:dyDescent="0.3">
      <c r="A12" s="5" t="s">
        <v>26</v>
      </c>
      <c r="B12" s="4" t="s">
        <v>31</v>
      </c>
      <c r="C12" s="18" t="str">
        <f>IF(B12="Nessuna","Nessuna categoria IS-X impattata",IF(B12="IS-1","Il soggetto NIS ha evidenza della perdita di riservatezza, verso l’esterno, di dati digitali di sua proprietà o sui quali esercita il controllo, anche parziale.",IF(B12="IS-2","Il soggetto NIS ha evidenza della perdita di integrità, con impatto verso l’esterno, di dati di sua proprietà o sui quali esercita il controllo, anche parziale.",IF(B12="IS-3","Il soggetto NIS ha evidenza della violazione dei livelli di servizio attesi dei suoi servizi e/o delle sue attività, sulla base dei livelli di servizio atteso (SL) definiti ai sensi della misura DE.CM-01.",IF(B12="IS-4",_xlfn._LONGTEXT("Il soggetto NIS ha evidenza, anche sulla base dei parametri quali-quantitativi definiti ai sensi della misura DE.CM-01, dell’accesso, non autorizzato o con abuso dei privilegi concessi, a dati digitali di sua proprietà o sui quali esercita il controllo, a","nche parziale."),"")))))</f>
        <v>Nessuna categoria IS-X impattata</v>
      </c>
      <c r="D12" s="18"/>
    </row>
    <row r="15" spans="1:4" x14ac:dyDescent="0.3">
      <c r="A15" s="17" t="s">
        <v>25</v>
      </c>
      <c r="B15" s="17"/>
      <c r="C15" s="17"/>
      <c r="D15" s="17"/>
    </row>
    <row r="16" spans="1:4" ht="159" thickBot="1" x14ac:dyDescent="0.35">
      <c r="A16" s="9" t="s">
        <v>15</v>
      </c>
      <c r="B16" s="10" t="str">
        <f>IF(C16=1,"Trascurabile",IF(C16=2,"Basso",IF(C16=3,"Medio",IF(C16=4,"Alto",IF(C16=5,"Critico","")))))</f>
        <v>Alto</v>
      </c>
      <c r="C16" s="4">
        <f>MAX(C2:C6)</f>
        <v>4</v>
      </c>
      <c r="D16" s="5" t="str">
        <f>IF(B16="Trascurabile",_xlfn._LONGTEXT("Impatto trascurabile su servizi (Asse 1), senza interruzioni significative. Perdite finanziarie/materiali assenti o minime (Asse 2). Nessuna conseguenza per le persone (Asse 3), con sicurezza e salute pienamente garantite. Nessuna perdita di riservatezza ","(Asse 4) o coinvolgimento di dati sensibili. Ripercussioni immateriali (Asse 5) nulle, senza alcun impatto su reputazione o conformità normativa."),IF(B16="Basso",_xlfn._LONGTEXT("Effetti limitati su servizi (Asse 1), con brevi interruzioni o rallentamenti facilmente gestibili. Perdite finanziarie/materiali contenute (Asse 2), senza impatti significativi sul bilancio. Conseguenze minime per le persone (Asse 3), senza rischi per la ","sicurezza o la salute. Possibile perdita di riservatezza (Asse 4) senza esposizione di dati critici. Ripercussioni immateriali (Asse 5) quasi nulle, con impatti marginali su reputazione e compliance."),IF(B16="Medio",_xlfn._LONGTEXT("Impatto gestibile sui servizi (Asse 1), con possibili interruzioni temporanee o limitate. Perdite finanziarie/materiali moderate (Asse 2), con costi contenuti e facilmente assorbibili. Conseguenze per le persone (Asse 3) di lieve entità, con rischio basso"," per la sicurezza o il benessere. Possibile perdita di riservatezza dei dati (Asse 4), ma senza esposizione massiva. Ripercussioni immateriali (Asse 5) circoscritte, come impatti limitati su reputazione e compliance, con potenziale escalation se non gesti","to adeguatamente."),IF(B16="Alto",_xlfn._LONGTEXT("Impatto rilevante sui processi operativi (Asse 1), con possibili interruzioni delle attività principali e della catena di fornitura. Perdite finanziarie o materiali significative (Asse 2), con costi elevati per la gestione dell’incidente e possibili danni"," patrimoniali. Danni alle persone (Asse 3), come disagio o rischio per la salute e la sicurezza, anche se non critici. Violazione della riservatezza dei dati (Asse 4), con esposizione di dati sensibili o personali a rischio. Ripercussioni immateriali este","se (Asse 5), quali danni reputazionali, perdita di credibilità e rischi di sanzioni normative rilevanti."),IF(B16="Critico",_xlfn._LONGTEXT("Compromissione estesa dei servizi essenziali (Asse 1), con grave perturbazione operativa e interruzione prolungata delle attività. Perdite finanziarie o materiali ingenti (Asse 2), come danni economici diretti o indiretti, costi di ripristino e possibili ","sanzioni. Danni rilevanti a persone (Asse 3), che possono includere rischi per la sicurezza fisica, salute o benessere degli individui coinvolti. Perdita significativa di riservatezza e integrità dei dati (Asse 4), con esposizione di informazioni sensibil","i o personali e possibile violazione della privacy. Ripercussioni immateriali profonde (Asse 5), quali danni reputazionali, perdita di fiducia da parte di clienti e stakeholder, impatto sull’immagine aziendale e possibili effetti sistemici a livello nazio","nale o internazionale."),"")))))</f>
        <v>Impatto rilevante sui processi operativi (Asse 1), con possibili interruzioni delle attività principali e della catena di fornitura. Perdite finanziarie o materiali significative (Asse 2), con costi elevati per la gestione dell’incidente e possibili danni patrimoniali. Danni alle persone (Asse 3), come disagio o rischio per la salute e la sicurezza, anche se non critici. Violazione della riservatezza dei dati (Asse 4), con esposizione di dati sensibili o personali a rischio. Ripercussioni immateriali estese (Asse 5), quali danni reputazionali, perdita di credibilità e rischi di sanzioni normative rilevanti.</v>
      </c>
    </row>
    <row r="17" spans="1:4" x14ac:dyDescent="0.3">
      <c r="A17" s="11" t="s">
        <v>16</v>
      </c>
      <c r="B17" s="12">
        <f>C16+C8</f>
        <v>4</v>
      </c>
      <c r="D17" s="8"/>
    </row>
    <row r="18" spans="1:4" ht="15" thickBot="1" x14ac:dyDescent="0.35">
      <c r="A18" s="13" t="s">
        <v>17</v>
      </c>
      <c r="B18" s="14">
        <f>C5*C9</f>
        <v>0</v>
      </c>
    </row>
    <row r="19" spans="1:4" x14ac:dyDescent="0.3">
      <c r="A19" s="15"/>
      <c r="B19" s="16"/>
    </row>
    <row r="20" spans="1:4" x14ac:dyDescent="0.3">
      <c r="A20" s="15"/>
      <c r="B20" s="16"/>
    </row>
    <row r="21" spans="1:4" x14ac:dyDescent="0.3">
      <c r="A21" s="17" t="s">
        <v>24</v>
      </c>
      <c r="B21" s="17"/>
    </row>
    <row r="22" spans="1:4" x14ac:dyDescent="0.3">
      <c r="A22" s="1" t="s">
        <v>22</v>
      </c>
      <c r="B22" t="str">
        <f>IF(AND(B17&gt;=4,B12&lt;&gt;"Nessuna"),"E' necessario notificare a CSIRT  Italia per incidente significativo","Nessuna notifica NIS2")</f>
        <v>Nessuna notifica NIS2</v>
      </c>
    </row>
    <row r="23" spans="1:4" x14ac:dyDescent="0.3">
      <c r="A23" s="1" t="s">
        <v>23</v>
      </c>
      <c r="B23" t="str">
        <f>IF(B18&gt;=4,"E' necessario notificare a Garante della privacy.", "Nessuna notifica Garante della privacy")</f>
        <v>Nessuna notifica Garante della privacy</v>
      </c>
    </row>
  </sheetData>
  <mergeCells count="4">
    <mergeCell ref="A21:B21"/>
    <mergeCell ref="A15:D15"/>
    <mergeCell ref="C12:D12"/>
    <mergeCell ref="A11:D11"/>
  </mergeCell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7EE0B8AF-5EFD-4966-B574-919C5DAF1BBE}">
          <x14:formula1>
            <xm:f>Elenchi!$A$1:$A$5</xm:f>
          </x14:formula1>
          <xm:sqref>B2:B6</xm:sqref>
        </x14:dataValidation>
        <x14:dataValidation type="list" allowBlank="1" showInputMessage="1" showErrorMessage="1" xr:uid="{825D2FCB-1499-450A-8614-C81400F1B75B}">
          <x14:formula1>
            <xm:f>Elenchi!$A$7:$A$8</xm:f>
          </x14:formula1>
          <xm:sqref>B8</xm:sqref>
        </x14:dataValidation>
        <x14:dataValidation type="list" allowBlank="1" showInputMessage="1" showErrorMessage="1" xr:uid="{57B2C3C5-290D-4F7D-83E1-AACE73F27709}">
          <x14:formula1>
            <xm:f>Elenchi!$A$10:$A$11</xm:f>
          </x14:formula1>
          <xm:sqref>B9</xm:sqref>
        </x14:dataValidation>
        <x14:dataValidation type="list" allowBlank="1" showInputMessage="1" showErrorMessage="1" xr:uid="{8D0ECBCD-0E0C-40AA-8E3D-F34730E84257}">
          <x14:formula1>
            <xm:f>Elenchi!$A$13:$A$17</xm:f>
          </x14:formula1>
          <xm:sqref>B12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B088A-8F48-48BA-B5AD-F7FC254598D1}">
  <dimension ref="A1:A17"/>
  <sheetViews>
    <sheetView workbookViewId="0">
      <selection activeCell="A14" sqref="A14"/>
    </sheetView>
  </sheetViews>
  <sheetFormatPr defaultRowHeight="14.4" x14ac:dyDescent="0.3"/>
  <cols>
    <col min="1" max="1" width="13.77734375" customWidth="1"/>
  </cols>
  <sheetData>
    <row r="1" spans="1:1" x14ac:dyDescent="0.3">
      <c r="A1" t="s">
        <v>1</v>
      </c>
    </row>
    <row r="2" spans="1:1" x14ac:dyDescent="0.3">
      <c r="A2" t="s">
        <v>2</v>
      </c>
    </row>
    <row r="3" spans="1:1" x14ac:dyDescent="0.3">
      <c r="A3" t="s">
        <v>3</v>
      </c>
    </row>
    <row r="4" spans="1:1" x14ac:dyDescent="0.3">
      <c r="A4" t="s">
        <v>4</v>
      </c>
    </row>
    <row r="5" spans="1:1" x14ac:dyDescent="0.3">
      <c r="A5" t="s">
        <v>5</v>
      </c>
    </row>
    <row r="7" spans="1:1" x14ac:dyDescent="0.3">
      <c r="A7" t="s">
        <v>2</v>
      </c>
    </row>
    <row r="8" spans="1:1" x14ac:dyDescent="0.3">
      <c r="A8" t="s">
        <v>4</v>
      </c>
    </row>
    <row r="10" spans="1:1" x14ac:dyDescent="0.3">
      <c r="A10" t="s">
        <v>20</v>
      </c>
    </row>
    <row r="11" spans="1:1" x14ac:dyDescent="0.3">
      <c r="A11" t="s">
        <v>21</v>
      </c>
    </row>
    <row r="13" spans="1:1" x14ac:dyDescent="0.3">
      <c r="A13" t="s">
        <v>31</v>
      </c>
    </row>
    <row r="14" spans="1:1" x14ac:dyDescent="0.3">
      <c r="A14" t="s">
        <v>27</v>
      </c>
    </row>
    <row r="15" spans="1:1" x14ac:dyDescent="0.3">
      <c r="A15" t="s">
        <v>28</v>
      </c>
    </row>
    <row r="16" spans="1:1" x14ac:dyDescent="0.3">
      <c r="A16" t="s">
        <v>29</v>
      </c>
    </row>
    <row r="17" spans="1:1" x14ac:dyDescent="0.3">
      <c r="A17" t="s">
        <v>30</v>
      </c>
    </row>
  </sheetData>
  <phoneticPr fontId="3"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F5A3BAE7264A5408410AC21170CD067" ma:contentTypeVersion="21" ma:contentTypeDescription="Creare un nuovo documento." ma:contentTypeScope="" ma:versionID="9094e5342e5429b445968dc24dd26384">
  <xsd:schema xmlns:xsd="http://www.w3.org/2001/XMLSchema" xmlns:xs="http://www.w3.org/2001/XMLSchema" xmlns:p="http://schemas.microsoft.com/office/2006/metadata/properties" xmlns:ns1="http://schemas.microsoft.com/sharepoint/v3" xmlns:ns2="ec0c143f-3bf9-44c8-881b-5c349d6f511e" xmlns:ns3="26c89ebe-fb8d-43e0-973c-0d95d8fb2ff1" xmlns:ns4="e19401da-f247-4cb6-89a5-62f483b3f4f0" targetNamespace="http://schemas.microsoft.com/office/2006/metadata/properties" ma:root="true" ma:fieldsID="1f3ca3f571ca21374101970ab87ade88" ns1:_="" ns2:_="" ns3:_="" ns4:_="">
    <xsd:import namespace="http://schemas.microsoft.com/sharepoint/v3"/>
    <xsd:import namespace="ec0c143f-3bf9-44c8-881b-5c349d6f511e"/>
    <xsd:import namespace="26c89ebe-fb8d-43e0-973c-0d95d8fb2ff1"/>
    <xsd:import namespace="e19401da-f247-4cb6-89a5-62f483b3f4f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DateTaken" minOccurs="0"/>
                <xsd:element ref="ns2:MediaServiceLocation" minOccurs="0"/>
                <xsd:element ref="ns2:MediaServiceOCR" minOccurs="0"/>
                <xsd:element ref="ns2:_Flow_SignoffStatus" minOccurs="0"/>
                <xsd:element ref="ns2:MediaServiceAutoKeyPoints" minOccurs="0"/>
                <xsd:element ref="ns2:MediaServiceKeyPoints" minOccurs="0"/>
                <xsd:element ref="ns2:MediaServiceGenerationTime" minOccurs="0"/>
                <xsd:element ref="ns2:MediaServiceEventHashCode" minOccurs="0"/>
                <xsd:element ref="ns2:lcf76f155ced4ddcb4097134ff3c332f" minOccurs="0"/>
                <xsd:element ref="ns4:TaxCatchAll" minOccurs="0"/>
                <xsd:element ref="ns1:_ip_UnifiedCompliancePolicyProperties" minOccurs="0"/>
                <xsd:element ref="ns1:_ip_UnifiedCompliancePolicyUIAction"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Proprietà criteri di conformità unificati" ma:hidden="true" ma:internalName="_ip_UnifiedCompliancePolicyProperties">
      <xsd:simpleType>
        <xsd:restriction base="dms:Note"/>
      </xsd:simpleType>
    </xsd:element>
    <xsd:element name="_ip_UnifiedCompliancePolicyUIAction" ma:index="25" nillable="true" ma:displayName="Azione interfaccia utente criteri di conformità unificati"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c0c143f-3bf9-44c8-881b-5c349d6f511e"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_Flow_SignoffStatus" ma:index="16" nillable="true" ma:displayName="Stato consenso" ma:internalName="Stato_x0020_consenso">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lcf76f155ced4ddcb4097134ff3c332f" ma:index="22" nillable="true" ma:taxonomy="true" ma:internalName="lcf76f155ced4ddcb4097134ff3c332f" ma:taxonomyFieldName="MediaServiceImageTags" ma:displayName="Tag immagine" ma:readOnly="false" ma:fieldId="{5cf76f15-5ced-4ddc-b409-7134ff3c332f}" ma:taxonomyMulti="true" ma:sspId="3ce3fada-dcca-45ee-a769-d46e245824b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6c89ebe-fb8d-43e0-973c-0d95d8fb2ff1" elementFormDefault="qualified">
    <xsd:import namespace="http://schemas.microsoft.com/office/2006/documentManagement/types"/>
    <xsd:import namespace="http://schemas.microsoft.com/office/infopath/2007/PartnerControls"/>
    <xsd:element name="SharedWithUsers" ma:index="10" nillable="true" ma:displayName="Condivis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Condiviso con dettagli"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19401da-f247-4cb6-89a5-62f483b3f4f0"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5631ffc4-3d57-4c2c-a566-3879aec95b3f}" ma:internalName="TaxCatchAll" ma:showField="CatchAllData" ma:web="e19401da-f247-4cb6-89a5-62f483b3f4f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Flow_SignoffStatus xmlns="ec0c143f-3bf9-44c8-881b-5c349d6f511e" xsi:nil="true"/>
    <_ip_UnifiedCompliancePolicyUIAction xmlns="http://schemas.microsoft.com/sharepoint/v3" xsi:nil="true"/>
    <_ip_UnifiedCompliancePolicyProperties xmlns="http://schemas.microsoft.com/sharepoint/v3" xsi:nil="true"/>
    <lcf76f155ced4ddcb4097134ff3c332f xmlns="ec0c143f-3bf9-44c8-881b-5c349d6f511e">
      <Terms xmlns="http://schemas.microsoft.com/office/infopath/2007/PartnerControls"/>
    </lcf76f155ced4ddcb4097134ff3c332f>
    <TaxCatchAll xmlns="e19401da-f247-4cb6-89a5-62f483b3f4f0" xsi:nil="true"/>
  </documentManagement>
</p:properties>
</file>

<file path=customXml/itemProps1.xml><?xml version="1.0" encoding="utf-8"?>
<ds:datastoreItem xmlns:ds="http://schemas.openxmlformats.org/officeDocument/2006/customXml" ds:itemID="{1D178978-C7C8-4D84-96E0-F9CE9808F3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c0c143f-3bf9-44c8-881b-5c349d6f511e"/>
    <ds:schemaRef ds:uri="26c89ebe-fb8d-43e0-973c-0d95d8fb2ff1"/>
    <ds:schemaRef ds:uri="e19401da-f247-4cb6-89a5-62f483b3f4f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BD8308D-C86F-4E89-B545-57202D600034}">
  <ds:schemaRefs>
    <ds:schemaRef ds:uri="http://schemas.microsoft.com/sharepoint/v3/contenttype/forms"/>
  </ds:schemaRefs>
</ds:datastoreItem>
</file>

<file path=customXml/itemProps3.xml><?xml version="1.0" encoding="utf-8"?>
<ds:datastoreItem xmlns:ds="http://schemas.openxmlformats.org/officeDocument/2006/customXml" ds:itemID="{9FC144A1-F86B-4837-9841-40537DC9E479}">
  <ds:schemaRefs>
    <ds:schemaRef ds:uri="http://schemas.microsoft.com/office/2006/metadata/properties"/>
    <ds:schemaRef ds:uri="http://schemas.microsoft.com/office/infopath/2007/PartnerControls"/>
    <ds:schemaRef ds:uri="ec0c143f-3bf9-44c8-881b-5c349d6f511e"/>
    <ds:schemaRef ds:uri="http://schemas.microsoft.com/sharepoint/v3"/>
    <ds:schemaRef ds:uri="e19401da-f247-4cb6-89a5-62f483b3f4f0"/>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Impatto dell'evento</vt:lpstr>
      <vt:lpstr>Elenchi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FORLIANO Gerardo</dc:creator>
  <cp:lastModifiedBy>FORLIANO Gerardo</cp:lastModifiedBy>
  <dcterms:created xsi:type="dcterms:W3CDTF">2026-02-06T10:15:13Z</dcterms:created>
  <dcterms:modified xsi:type="dcterms:W3CDTF">2026-02-09T09:49:29Z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0x010100FF5A3BAE7264A5408410AC21170CD067</vt:lpwstr>
  </property>
  <property fmtid="{D5CDD505-2E9C-101B-9397-08002B2CF9AE}" pid="3" name="MediaServiceImageTags">
    <vt:lpwstr/>
  </property>
</Properties>
</file>